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Funnel Model" sheetId="2" state="visible" r:id="rId2"/>
    <sheet xmlns:r="http://schemas.openxmlformats.org/officeDocument/2006/relationships" name="Activation Opportun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6" fontId="0" fillId="3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Won Rate vs Activation Rate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'Funnel Model'!C1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'Funnel Model'!$A$2:$A$13</f>
            </numRef>
          </cat>
          <val>
            <numRef>
              <f>'Funnel Model'!$C$2:$C$13</f>
            </numRef>
          </val>
        </ser>
        <ser>
          <idx val="1"/>
          <order val="1"/>
          <tx>
            <strRef>
              <f>'Funnel Model'!D1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'Funnel Model'!$A$2:$A$13</f>
            </numRef>
          </cat>
          <val>
            <numRef>
              <f>'Funnel Model'!$D$2:$D$13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Leads</t>
        </is>
      </c>
      <c r="C1" s="1" t="inlineStr">
        <is>
          <t>Won Deals</t>
        </is>
      </c>
      <c r="D1" s="1" t="inlineStr">
        <is>
          <t>Activated Sellers</t>
        </is>
      </c>
      <c r="E1" s="1" t="inlineStr">
        <is>
          <t>Revenue (R$)</t>
        </is>
      </c>
    </row>
    <row r="2">
      <c r="A2" s="2" t="n">
        <v>42887</v>
      </c>
      <c r="B2" t="n">
        <v>4</v>
      </c>
      <c r="C2" t="n">
        <v>0</v>
      </c>
      <c r="D2" t="n">
        <v>0</v>
      </c>
      <c r="E2" t="n">
        <v>0</v>
      </c>
    </row>
    <row r="3">
      <c r="A3" s="2" t="n">
        <v>42917</v>
      </c>
      <c r="B3" t="n">
        <v>239</v>
      </c>
      <c r="C3" t="n">
        <v>2</v>
      </c>
      <c r="D3" t="n">
        <v>1</v>
      </c>
      <c r="E3" t="n">
        <v>141.15</v>
      </c>
    </row>
    <row r="4">
      <c r="A4" s="2" t="n">
        <v>42948</v>
      </c>
      <c r="B4" t="n">
        <v>386</v>
      </c>
      <c r="C4" t="n">
        <v>9</v>
      </c>
      <c r="D4" t="n">
        <v>3</v>
      </c>
      <c r="E4" t="n">
        <v>3431.66</v>
      </c>
    </row>
    <row r="5">
      <c r="A5" s="2" t="n">
        <v>42979</v>
      </c>
      <c r="B5" t="n">
        <v>312</v>
      </c>
      <c r="C5" t="n">
        <v>7</v>
      </c>
      <c r="D5" t="n">
        <v>0</v>
      </c>
      <c r="E5" t="n">
        <v>0</v>
      </c>
    </row>
    <row r="6">
      <c r="A6" s="2" t="n">
        <v>43009</v>
      </c>
      <c r="B6" t="n">
        <v>416</v>
      </c>
      <c r="C6" t="n">
        <v>14</v>
      </c>
      <c r="D6" t="n">
        <v>4</v>
      </c>
      <c r="E6" t="n">
        <v>8738.370000000001</v>
      </c>
    </row>
    <row r="7">
      <c r="A7" s="2" t="n">
        <v>43040</v>
      </c>
      <c r="B7" t="n">
        <v>445</v>
      </c>
      <c r="C7" t="n">
        <v>18</v>
      </c>
      <c r="D7" t="n">
        <v>6</v>
      </c>
      <c r="E7" t="n">
        <v>3549.44</v>
      </c>
    </row>
    <row r="8">
      <c r="A8" s="2" t="n">
        <v>43070</v>
      </c>
      <c r="B8" t="n">
        <v>200</v>
      </c>
      <c r="C8" t="n">
        <v>11</v>
      </c>
      <c r="D8" t="n">
        <v>5</v>
      </c>
      <c r="E8" t="n">
        <v>7408.11</v>
      </c>
    </row>
    <row r="9">
      <c r="A9" s="2" t="n">
        <v>43101</v>
      </c>
      <c r="B9" t="n">
        <v>1141</v>
      </c>
      <c r="C9" t="n">
        <v>152</v>
      </c>
      <c r="D9" t="n">
        <v>76</v>
      </c>
      <c r="E9" t="n">
        <v>290341.48</v>
      </c>
    </row>
    <row r="10">
      <c r="A10" s="2" t="n">
        <v>43132</v>
      </c>
      <c r="B10" t="n">
        <v>1028</v>
      </c>
      <c r="C10" t="n">
        <v>149</v>
      </c>
      <c r="D10" t="n">
        <v>74</v>
      </c>
      <c r="E10" t="n">
        <v>97988.2</v>
      </c>
    </row>
    <row r="11">
      <c r="A11" s="2" t="n">
        <v>43160</v>
      </c>
      <c r="B11" t="n">
        <v>1174</v>
      </c>
      <c r="C11" t="n">
        <v>167</v>
      </c>
      <c r="D11" t="n">
        <v>67</v>
      </c>
      <c r="E11" t="n">
        <v>132436.68</v>
      </c>
    </row>
    <row r="12">
      <c r="A12" s="2" t="n">
        <v>43191</v>
      </c>
      <c r="B12" t="n">
        <v>1352</v>
      </c>
      <c r="C12" t="n">
        <v>183</v>
      </c>
      <c r="D12" t="n">
        <v>97</v>
      </c>
      <c r="E12" t="n">
        <v>173862.94</v>
      </c>
    </row>
    <row r="13">
      <c r="A13" s="2" t="n">
        <v>43221</v>
      </c>
      <c r="B13" t="n">
        <v>1303</v>
      </c>
      <c r="C13" t="n">
        <v>130</v>
      </c>
      <c r="D13" t="n">
        <v>46</v>
      </c>
      <c r="E13" t="n">
        <v>54918.74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Leads</t>
        </is>
      </c>
      <c r="C1" s="1" t="inlineStr">
        <is>
          <t>Won Rate %</t>
        </is>
      </c>
      <c r="D1" s="1" t="inlineStr">
        <is>
          <t>Activation Rate %</t>
        </is>
      </c>
      <c r="E1" s="1" t="inlineStr">
        <is>
          <t>Lead-to-Activated %</t>
        </is>
      </c>
      <c r="F1" s="1" t="inlineStr">
        <is>
          <t>Revenue (R$)</t>
        </is>
      </c>
    </row>
    <row r="2">
      <c r="A2" s="2">
        <f>'Monthly Data'!A2</f>
        <v/>
      </c>
      <c r="B2">
        <f>'Monthly Data'!B2</f>
        <v/>
      </c>
      <c r="C2" s="3">
        <f>IFERROR('Monthly Data'!C2/'Monthly Data'!B2,0)</f>
        <v/>
      </c>
      <c r="D2" s="3">
        <f>IFERROR('Monthly Data'!D2/'Monthly Data'!C2,0)</f>
        <v/>
      </c>
      <c r="E2" s="3">
        <f>IFERROR('Monthly Data'!D2/'Monthly Data'!B2,0)</f>
        <v/>
      </c>
      <c r="F2" s="4">
        <f>'Monthly Data'!E2</f>
        <v/>
      </c>
    </row>
    <row r="3">
      <c r="A3" s="2">
        <f>'Monthly Data'!A3</f>
        <v/>
      </c>
      <c r="B3">
        <f>'Monthly Data'!B3</f>
        <v/>
      </c>
      <c r="C3" s="3">
        <f>IFERROR('Monthly Data'!C3/'Monthly Data'!B3,0)</f>
        <v/>
      </c>
      <c r="D3" s="3">
        <f>IFERROR('Monthly Data'!D3/'Monthly Data'!C3,0)</f>
        <v/>
      </c>
      <c r="E3" s="3">
        <f>IFERROR('Monthly Data'!D3/'Monthly Data'!B3,0)</f>
        <v/>
      </c>
      <c r="F3" s="4">
        <f>'Monthly Data'!E3</f>
        <v/>
      </c>
    </row>
    <row r="4">
      <c r="A4" s="2">
        <f>'Monthly Data'!A4</f>
        <v/>
      </c>
      <c r="B4">
        <f>'Monthly Data'!B4</f>
        <v/>
      </c>
      <c r="C4" s="3">
        <f>IFERROR('Monthly Data'!C4/'Monthly Data'!B4,0)</f>
        <v/>
      </c>
      <c r="D4" s="3">
        <f>IFERROR('Monthly Data'!D4/'Monthly Data'!C4,0)</f>
        <v/>
      </c>
      <c r="E4" s="3">
        <f>IFERROR('Monthly Data'!D4/'Monthly Data'!B4,0)</f>
        <v/>
      </c>
      <c r="F4" s="4">
        <f>'Monthly Data'!E4</f>
        <v/>
      </c>
    </row>
    <row r="5">
      <c r="A5" s="2">
        <f>'Monthly Data'!A5</f>
        <v/>
      </c>
      <c r="B5">
        <f>'Monthly Data'!B5</f>
        <v/>
      </c>
      <c r="C5" s="3">
        <f>IFERROR('Monthly Data'!C5/'Monthly Data'!B5,0)</f>
        <v/>
      </c>
      <c r="D5" s="3">
        <f>IFERROR('Monthly Data'!D5/'Monthly Data'!C5,0)</f>
        <v/>
      </c>
      <c r="E5" s="3">
        <f>IFERROR('Monthly Data'!D5/'Monthly Data'!B5,0)</f>
        <v/>
      </c>
      <c r="F5" s="4">
        <f>'Monthly Data'!E5</f>
        <v/>
      </c>
    </row>
    <row r="6">
      <c r="A6" s="2">
        <f>'Monthly Data'!A6</f>
        <v/>
      </c>
      <c r="B6">
        <f>'Monthly Data'!B6</f>
        <v/>
      </c>
      <c r="C6" s="3">
        <f>IFERROR('Monthly Data'!C6/'Monthly Data'!B6,0)</f>
        <v/>
      </c>
      <c r="D6" s="3">
        <f>IFERROR('Monthly Data'!D6/'Monthly Data'!C6,0)</f>
        <v/>
      </c>
      <c r="E6" s="3">
        <f>IFERROR('Monthly Data'!D6/'Monthly Data'!B6,0)</f>
        <v/>
      </c>
      <c r="F6" s="4">
        <f>'Monthly Data'!E6</f>
        <v/>
      </c>
    </row>
    <row r="7">
      <c r="A7" s="2">
        <f>'Monthly Data'!A7</f>
        <v/>
      </c>
      <c r="B7">
        <f>'Monthly Data'!B7</f>
        <v/>
      </c>
      <c r="C7" s="3">
        <f>IFERROR('Monthly Data'!C7/'Monthly Data'!B7,0)</f>
        <v/>
      </c>
      <c r="D7" s="3">
        <f>IFERROR('Monthly Data'!D7/'Monthly Data'!C7,0)</f>
        <v/>
      </c>
      <c r="E7" s="3">
        <f>IFERROR('Monthly Data'!D7/'Monthly Data'!B7,0)</f>
        <v/>
      </c>
      <c r="F7" s="4">
        <f>'Monthly Data'!E7</f>
        <v/>
      </c>
    </row>
    <row r="8">
      <c r="A8" s="2">
        <f>'Monthly Data'!A8</f>
        <v/>
      </c>
      <c r="B8">
        <f>'Monthly Data'!B8</f>
        <v/>
      </c>
      <c r="C8" s="3">
        <f>IFERROR('Monthly Data'!C8/'Monthly Data'!B8,0)</f>
        <v/>
      </c>
      <c r="D8" s="3">
        <f>IFERROR('Monthly Data'!D8/'Monthly Data'!C8,0)</f>
        <v/>
      </c>
      <c r="E8" s="3">
        <f>IFERROR('Monthly Data'!D8/'Monthly Data'!B8,0)</f>
        <v/>
      </c>
      <c r="F8" s="4">
        <f>'Monthly Data'!E8</f>
        <v/>
      </c>
    </row>
    <row r="9">
      <c r="A9" s="2">
        <f>'Monthly Data'!A9</f>
        <v/>
      </c>
      <c r="B9">
        <f>'Monthly Data'!B9</f>
        <v/>
      </c>
      <c r="C9" s="3">
        <f>IFERROR('Monthly Data'!C9/'Monthly Data'!B9,0)</f>
        <v/>
      </c>
      <c r="D9" s="3">
        <f>IFERROR('Monthly Data'!D9/'Monthly Data'!C9,0)</f>
        <v/>
      </c>
      <c r="E9" s="3">
        <f>IFERROR('Monthly Data'!D9/'Monthly Data'!B9,0)</f>
        <v/>
      </c>
      <c r="F9" s="4">
        <f>'Monthly Data'!E9</f>
        <v/>
      </c>
    </row>
    <row r="10">
      <c r="A10" s="2">
        <f>'Monthly Data'!A10</f>
        <v/>
      </c>
      <c r="B10">
        <f>'Monthly Data'!B10</f>
        <v/>
      </c>
      <c r="C10" s="3">
        <f>IFERROR('Monthly Data'!C10/'Monthly Data'!B10,0)</f>
        <v/>
      </c>
      <c r="D10" s="3">
        <f>IFERROR('Monthly Data'!D10/'Monthly Data'!C10,0)</f>
        <v/>
      </c>
      <c r="E10" s="3">
        <f>IFERROR('Monthly Data'!D10/'Monthly Data'!B10,0)</f>
        <v/>
      </c>
      <c r="F10" s="4">
        <f>'Monthly Data'!E10</f>
        <v/>
      </c>
    </row>
    <row r="11">
      <c r="A11" s="2">
        <f>'Monthly Data'!A11</f>
        <v/>
      </c>
      <c r="B11">
        <f>'Monthly Data'!B11</f>
        <v/>
      </c>
      <c r="C11" s="3">
        <f>IFERROR('Monthly Data'!C11/'Monthly Data'!B11,0)</f>
        <v/>
      </c>
      <c r="D11" s="3">
        <f>IFERROR('Monthly Data'!D11/'Monthly Data'!C11,0)</f>
        <v/>
      </c>
      <c r="E11" s="3">
        <f>IFERROR('Monthly Data'!D11/'Monthly Data'!B11,0)</f>
        <v/>
      </c>
      <c r="F11" s="4">
        <f>'Monthly Data'!E11</f>
        <v/>
      </c>
    </row>
    <row r="12">
      <c r="A12" s="2">
        <f>'Monthly Data'!A12</f>
        <v/>
      </c>
      <c r="B12">
        <f>'Monthly Data'!B12</f>
        <v/>
      </c>
      <c r="C12" s="3">
        <f>IFERROR('Monthly Data'!C12/'Monthly Data'!B12,0)</f>
        <v/>
      </c>
      <c r="D12" s="3">
        <f>IFERROR('Monthly Data'!D12/'Monthly Data'!C12,0)</f>
        <v/>
      </c>
      <c r="E12" s="3">
        <f>IFERROR('Monthly Data'!D12/'Monthly Data'!B12,0)</f>
        <v/>
      </c>
      <c r="F12" s="4">
        <f>'Monthly Data'!E12</f>
        <v/>
      </c>
    </row>
    <row r="13">
      <c r="A13" s="2">
        <f>'Monthly Data'!A13</f>
        <v/>
      </c>
      <c r="B13">
        <f>'Monthly Data'!B13</f>
        <v/>
      </c>
      <c r="C13" s="3">
        <f>IFERROR('Monthly Data'!C13/'Monthly Data'!B13,0)</f>
        <v/>
      </c>
      <c r="D13" s="3">
        <f>IFERROR('Monthly Data'!D13/'Monthly Data'!C13,0)</f>
        <v/>
      </c>
      <c r="E13" s="3">
        <f>IFERROR('Monthly Data'!D13/'Monthly Data'!B13,0)</f>
        <v/>
      </c>
      <c r="F13" s="4">
        <f>'Monthly Data'!E13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5" t="inlineStr">
        <is>
          <t>Won-to-Activated Revenue Opportunity Model</t>
        </is>
      </c>
    </row>
    <row r="3">
      <c r="A3" t="inlineStr">
        <is>
          <t>Won deals (actual)</t>
        </is>
      </c>
      <c r="B3" t="n">
        <v>842</v>
      </c>
    </row>
    <row r="4">
      <c r="A4" t="inlineStr">
        <is>
          <t>Activated sellers (actual)</t>
        </is>
      </c>
      <c r="B4" t="n">
        <v>379</v>
      </c>
    </row>
    <row r="5">
      <c r="A5" t="inlineStr">
        <is>
          <t>Current activation rate</t>
        </is>
      </c>
      <c r="B5" s="3">
        <f>B4/B3</f>
        <v/>
      </c>
    </row>
    <row r="6">
      <c r="A6" t="inlineStr">
        <is>
          <t>Avg revenue per activated seller (R$)</t>
        </is>
      </c>
      <c r="B6" t="n">
        <v>2039.09</v>
      </c>
    </row>
    <row r="7">
      <c r="A7" t="inlineStr"/>
    </row>
    <row r="8">
      <c r="A8" t="inlineStr">
        <is>
          <t>--- Adjustable Inputs ---</t>
        </is>
      </c>
    </row>
    <row r="9">
      <c r="A9" t="inlineStr">
        <is>
          <t>Target activation rate</t>
        </is>
      </c>
      <c r="B9" s="6" t="n">
        <v>0.6</v>
      </c>
    </row>
    <row r="11">
      <c r="A11" s="7" t="inlineStr">
        <is>
          <t>--- Model Output ---</t>
        </is>
      </c>
    </row>
    <row r="12">
      <c r="A12" t="inlineStr">
        <is>
          <t>Additional sellers activated to hit target</t>
        </is>
      </c>
      <c r="B12" s="8">
        <f>MAX(ROUND(B9*B3,0)-B4,0)</f>
        <v/>
      </c>
    </row>
    <row r="13">
      <c r="A13" t="inlineStr">
        <is>
          <t>Additional revenue from closing the activation gap (R$)</t>
        </is>
      </c>
      <c r="B13" s="4">
        <f>B12*B6</f>
        <v/>
      </c>
    </row>
    <row r="16">
      <c r="A16" s="9" t="inlineStr">
        <is>
          <t>Model logic: additional revenue = (sellers needed to reach target activation rate) x (avg revenue per activated seller). Change the yellow target-rate cell to re-run the scenario live -- e.g. set it to 100% to see the full size of the won-but-never-activated gap.</t>
        </is>
      </c>
    </row>
    <row r="17"/>
    <row r="18"/>
  </sheetData>
  <mergeCells count="1">
    <mergeCell ref="A16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2026-09-22T11:30:45Z</dcterms:created>
  <dcterms:modified xmlns:dcterms="http://purl.org/dc/terms/" xmlns:xsi="http://www.w3.org/2001/XMLSchema-instance" xsi:type="dcterms:W3CDTF">2026-09-22T11:30:45Z</dcterms:modified>
</cp:coreProperties>
</file>